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HAS RAVI\Downloads\PORTFOLIO\files\"/>
    </mc:Choice>
  </mc:AlternateContent>
  <xr:revisionPtr revIDLastSave="0" documentId="13_ncr:1_{BF88B882-2496-416A-A6D4-FCC2E1937DD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puts" sheetId="1" r:id="rId1"/>
    <sheet name="Energy Savings" sheetId="2" r:id="rId2"/>
    <sheet name="Water Savings" sheetId="3" r:id="rId3"/>
    <sheet name="LEED Points" sheetId="4" r:id="rId4"/>
    <sheet name="Summary Repor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5" l="1"/>
  <c r="C37" i="5"/>
  <c r="C36" i="5"/>
  <c r="C35" i="5"/>
  <c r="C34" i="5"/>
  <c r="C33" i="5"/>
  <c r="C32" i="5"/>
  <c r="C31" i="5"/>
  <c r="C9" i="5"/>
  <c r="C8" i="5"/>
  <c r="C7" i="5"/>
  <c r="C6" i="5"/>
  <c r="C5" i="5"/>
  <c r="B2" i="5"/>
  <c r="D30" i="4"/>
  <c r="D29" i="4"/>
  <c r="D28" i="4"/>
  <c r="D19" i="4"/>
  <c r="D11" i="4"/>
  <c r="D7" i="4"/>
  <c r="D7" i="3"/>
  <c r="E7" i="3" s="1"/>
  <c r="F7" i="3" s="1"/>
  <c r="C7" i="3"/>
  <c r="D6" i="3"/>
  <c r="E6" i="3" s="1"/>
  <c r="F6" i="3" s="1"/>
  <c r="C6" i="3"/>
  <c r="D5" i="3"/>
  <c r="C5" i="3"/>
  <c r="E5" i="3" s="1"/>
  <c r="F5" i="3" s="1"/>
  <c r="D4" i="3"/>
  <c r="E4" i="3" s="1"/>
  <c r="C4" i="3"/>
  <c r="E8" i="2"/>
  <c r="F8" i="2" s="1"/>
  <c r="C7" i="2"/>
  <c r="D7" i="2" s="1"/>
  <c r="C6" i="2"/>
  <c r="D6" i="2" s="1"/>
  <c r="E5" i="2"/>
  <c r="F5" i="2" s="1"/>
  <c r="D5" i="2"/>
  <c r="C5" i="2"/>
  <c r="C4" i="2"/>
  <c r="E9" i="3" l="1"/>
  <c r="C17" i="5" s="1"/>
  <c r="F4" i="3"/>
  <c r="F9" i="3" s="1"/>
  <c r="E6" i="2"/>
  <c r="F6" i="2" s="1"/>
  <c r="D4" i="2"/>
  <c r="E4" i="2" s="1"/>
  <c r="E7" i="2"/>
  <c r="F7" i="2" s="1"/>
  <c r="F4" i="2" l="1"/>
  <c r="F10" i="2" s="1"/>
  <c r="E10" i="2"/>
  <c r="C12" i="5" s="1"/>
  <c r="C18" i="5"/>
  <c r="F10" i="3"/>
  <c r="C19" i="5" l="1"/>
  <c r="D37" i="4"/>
  <c r="D12" i="4"/>
  <c r="C22" i="5"/>
  <c r="F11" i="2"/>
  <c r="C13" i="5"/>
  <c r="C23" i="5"/>
  <c r="D17" i="4" l="1"/>
  <c r="C14" i="5"/>
  <c r="D38" i="4"/>
  <c r="D40" i="4"/>
  <c r="C28" i="5" l="1"/>
  <c r="C26" i="5"/>
  <c r="D41" i="4"/>
  <c r="C27" i="5" s="1"/>
</calcChain>
</file>

<file path=xl/sharedStrings.xml><?xml version="1.0" encoding="utf-8"?>
<sst xmlns="http://schemas.openxmlformats.org/spreadsheetml/2006/main" count="228" uniqueCount="206">
  <si>
    <t>LEED v4.1 RETROFIT SAVINGS CALCULATOR</t>
  </si>
  <si>
    <t>Based on ASHRAE 90.1-2019 Baseline | EPA WaterSense Standards | LEED v4.1 BD+C Rating System</t>
  </si>
  <si>
    <t xml:space="preserve">  SECTION 1 — BUILDING INFORMATION</t>
  </si>
  <si>
    <t>Building Name / Project ID</t>
  </si>
  <si>
    <t>Casa Cortile Retrofit</t>
  </si>
  <si>
    <t>Source: ASHRAE 90.1-2019 §5</t>
  </si>
  <si>
    <t>Building Type</t>
  </si>
  <si>
    <t>Office/Commercial</t>
  </si>
  <si>
    <t>Options: Office, Retail, Multifamily, School, Warehouse</t>
  </si>
  <si>
    <t>Gross Floor Area</t>
  </si>
  <si>
    <t>sq ft</t>
  </si>
  <si>
    <t>Total conditioned area</t>
  </si>
  <si>
    <t>Number of Stories</t>
  </si>
  <si>
    <t>floors</t>
  </si>
  <si>
    <t>Year Built</t>
  </si>
  <si>
    <t>Pre-2000 = higher baseline energy use</t>
  </si>
  <si>
    <t>Climate Zone (ASHRAE 90.1)</t>
  </si>
  <si>
    <t>2A</t>
  </si>
  <si>
    <t>Dallas-Fort Worth = Zone 2A (Hot-Humid)</t>
  </si>
  <si>
    <t>Occupancy Hours per Week</t>
  </si>
  <si>
    <t>hrs/wk</t>
  </si>
  <si>
    <t>Typical office: 50-60 hrs/wk</t>
  </si>
  <si>
    <t>Number of Occupants</t>
  </si>
  <si>
    <t>people</t>
  </si>
  <si>
    <t>Used for water demand calculation</t>
  </si>
  <si>
    <t>Annual Energy Cost (current)</t>
  </si>
  <si>
    <t>$/yr</t>
  </si>
  <si>
    <t>From utility bills — pre-retrofit baseline</t>
  </si>
  <si>
    <t>Local Electricity Rate</t>
  </si>
  <si>
    <t>$/kWh</t>
  </si>
  <si>
    <t>DFW avg: ~$0.12/kWh (2024)</t>
  </si>
  <si>
    <t>Local Gas Rate</t>
  </si>
  <si>
    <t>$/therm</t>
  </si>
  <si>
    <t>DFW avg: ~$0.85/therm (2024)</t>
  </si>
  <si>
    <t>Annual Water Cost (current)</t>
  </si>
  <si>
    <t>Local Water Rate</t>
  </si>
  <si>
    <t>$/gal</t>
  </si>
  <si>
    <t>DFW avg: ~$0.006/gal (2024)</t>
  </si>
  <si>
    <t xml:space="preserve">  SECTION 2 — CURRENT BUILDING SYSTEMS (BASELINE)</t>
  </si>
  <si>
    <t>Current HVAC System Type</t>
  </si>
  <si>
    <t>Packaged RTU (pre-2010)</t>
  </si>
  <si>
    <t>Baseline EER: ~10</t>
  </si>
  <si>
    <t>Current HVAC SEER/EER</t>
  </si>
  <si>
    <t>ASHRAE 90.1-2019 minimum = 15 SEER for Zone 2A</t>
  </si>
  <si>
    <t>Current Lighting Type</t>
  </si>
  <si>
    <t>T8 Fluorescent</t>
  </si>
  <si>
    <t>Baseline: 1.1 W/sq ft per ASHRAE 90.1 Table 9.6</t>
  </si>
  <si>
    <t>Current Lighting Power Density</t>
  </si>
  <si>
    <t>W/sq ft</t>
  </si>
  <si>
    <t>ASHRAE 90.1 office baseline</t>
  </si>
  <si>
    <t>Current Roof Insulation (R-value)</t>
  </si>
  <si>
    <t>ASHRAE 90.1-2019 Zone 2A minimum = R-20 ci</t>
  </si>
  <si>
    <t>Current Window U-Factor</t>
  </si>
  <si>
    <t>ASHRAE 90.1-2019 Zone 2A max = 0.40</t>
  </si>
  <si>
    <t>Current Toilet Flush Volume</t>
  </si>
  <si>
    <t>gpf</t>
  </si>
  <si>
    <t>Pre-1992 standard; EPA WaterSense max = 1.28 gpf</t>
  </si>
  <si>
    <t>Current Urinal Flush Volume</t>
  </si>
  <si>
    <t>EPA WaterSense max = 0.5 gpf</t>
  </si>
  <si>
    <t>Current Lavatory Flow Rate</t>
  </si>
  <si>
    <t>gpm</t>
  </si>
  <si>
    <t>EPA WaterSense max = 1.5 gpm</t>
  </si>
  <si>
    <t>Current Kitchen Faucet Flow</t>
  </si>
  <si>
    <t>EPA WaterSense max = 1.8 gpm</t>
  </si>
  <si>
    <t>Has Rooftop Solar PV?</t>
  </si>
  <si>
    <t>No</t>
  </si>
  <si>
    <t>Enter Yes or No</t>
  </si>
  <si>
    <t xml:space="preserve">  SECTION 3 — PROPOSED RETROFIT MEASURES</t>
  </si>
  <si>
    <t>Upgrade HVAC to High-Efficiency?</t>
  </si>
  <si>
    <t>Yes</t>
  </si>
  <si>
    <t>Proposed HVAC SEER/EER</t>
  </si>
  <si>
    <t>High-efficiency unit: 18-22 SEER</t>
  </si>
  <si>
    <t>Upgrade Lighting to LED?</t>
  </si>
  <si>
    <t>Proposed LED Power Density</t>
  </si>
  <si>
    <t>LEED target: ≤0.6 W/sq ft for office</t>
  </si>
  <si>
    <t>Upgrade Roof Insulation?</t>
  </si>
  <si>
    <t>Proposed Roof R-value</t>
  </si>
  <si>
    <t>ASHRAE 90.1 enhanced: R-30 ci</t>
  </si>
  <si>
    <t>Upgrade Windows?</t>
  </si>
  <si>
    <t>Proposed Window U-Factor</t>
  </si>
  <si>
    <t>High-performance glazing</t>
  </si>
  <si>
    <t>Install WaterSense Toilets?</t>
  </si>
  <si>
    <t>1.28 gpf dual-flush</t>
  </si>
  <si>
    <t>Install WaterSense Lavatory Faucets?</t>
  </si>
  <si>
    <t>1.5 gpm aerators</t>
  </si>
  <si>
    <t>Install WaterSense Urinals?</t>
  </si>
  <si>
    <t>0.5 gpf or non-water</t>
  </si>
  <si>
    <t>Install Rooftop Solar PV?</t>
  </si>
  <si>
    <t>Solar PV System Size</t>
  </si>
  <si>
    <t>kW DC</t>
  </si>
  <si>
    <t>Typical 8,500 sq ft commercial: 25-35 kW</t>
  </si>
  <si>
    <t>AMBER CELLS = Input fields you can change.  All results update automatically on the Energy Savings, Water Savings, LEED Points, and Summary tabs.</t>
  </si>
  <si>
    <t>ENERGY SAVINGS ANALYSIS — ASHRAE 90.1-2019 BASELINE</t>
  </si>
  <si>
    <t>Retrofit Measure</t>
  </si>
  <si>
    <t>Baseline Energy Use</t>
  </si>
  <si>
    <t>Post-Retrofit Use</t>
  </si>
  <si>
    <t>Annual kBtu Saved</t>
  </si>
  <si>
    <t>Annual $ Saved</t>
  </si>
  <si>
    <t>HVAC System Upgrade (High-Efficiency)</t>
  </si>
  <si>
    <t>Lighting Upgrade (LED Retrofit)</t>
  </si>
  <si>
    <t>Roof Insulation Upgrade (R-20 → R-30)</t>
  </si>
  <si>
    <t>Window Upgrade (U-0.65 → U-0.35 High Performance)</t>
  </si>
  <si>
    <t>Rooftop Solar PV Generation</t>
  </si>
  <si>
    <t>0</t>
  </si>
  <si>
    <t>TOTAL ENERGY SAVINGS</t>
  </si>
  <si>
    <t>Energy Cost Reduction (%)</t>
  </si>
  <si>
    <t>Methodology: HVAC savings based on SEER ratio per ASHRAE 90.1-2019 §6. Lighting per Table 9.6.1 LPD. Envelope per §5.5 prescriptive path. Solar per NREL PVWatts (DFW: 4.0 peak sun hrs/day).</t>
  </si>
  <si>
    <t>WATER SAVINGS ANALYSIS — EPA WATERSENSE BASELINE</t>
  </si>
  <si>
    <t>Fixture Type</t>
  </si>
  <si>
    <t>Current (gpf/gpm)</t>
  </si>
  <si>
    <t>WaterSense (gpf/gpm)</t>
  </si>
  <si>
    <t>Annual gal Saved</t>
  </si>
  <si>
    <t>Toilets (Dual-Flush WaterSense)</t>
  </si>
  <si>
    <t>Urinals (WaterSense 0.5 gpf)</t>
  </si>
  <si>
    <t>Lavatory Faucets (1.5 gpm aerators)</t>
  </si>
  <si>
    <t>Kitchen/Break Room Faucets (1.8 gpm)</t>
  </si>
  <si>
    <t>TOTAL WATER SAVINGS</t>
  </si>
  <si>
    <t>Water Use Reduction (%)</t>
  </si>
  <si>
    <t>Methodology: EPA WaterSense fixture baselines. Occupancy: 260 workdays/yr. Toilet: 3 uses/person/day. Urinal: 2 uses/person/day (50% occupancy). Lavatory: 3 uses × 0.5 min/use. Kitchen: 15 min/day.</t>
  </si>
  <si>
    <t>LEED v4.1 BD+C — POINTS ESTIMATOR</t>
  </si>
  <si>
    <t>Rating: Building Design and Construction (BD+C) — New Construction &amp; Major Renovation</t>
  </si>
  <si>
    <t>LEED Credit</t>
  </si>
  <si>
    <t>Max Pts Available</t>
  </si>
  <si>
    <t>Estimated Pts Achieved</t>
  </si>
  <si>
    <t>Basis for Estimate</t>
  </si>
  <si>
    <t xml:space="preserve">  SUSTAINABLE SITES (SS)</t>
  </si>
  <si>
    <t>SS Credit: Rainwater Management</t>
  </si>
  <si>
    <t>Single retention strategy assumed</t>
  </si>
  <si>
    <t>SS Credit: Heat Island Reduction</t>
  </si>
  <si>
    <t>Cool roof + solar = 2 pts; roof only = 1 pt</t>
  </si>
  <si>
    <t>SS Credit: Light Pollution Reduction</t>
  </si>
  <si>
    <t>Assumed compliant fixture selection</t>
  </si>
  <si>
    <t xml:space="preserve">  WATER EFFICIENCY (WE)</t>
  </si>
  <si>
    <t>WE Prereq: Indoor Water Use Reduction</t>
  </si>
  <si>
    <t>Prerequisite — WaterSense toilets+faucets+urinals required</t>
  </si>
  <si>
    <t>WE Credit: Indoor Water Use Reduction</t>
  </si>
  <si>
    <t>6 pts @ ≥40% reduction; 4 pts @ ≥30%; 2 pts @ ≥20%</t>
  </si>
  <si>
    <t>WE Credit: Outdoor Water Use Reduction</t>
  </si>
  <si>
    <t>Drought-tolerant landscaping assumed</t>
  </si>
  <si>
    <t xml:space="preserve">  ENERGY &amp; ATMOSPHERE (EA)</t>
  </si>
  <si>
    <t>EA Prereq: Fundamental Commissioning</t>
  </si>
  <si>
    <t>Prereq — no points, required for certification</t>
  </si>
  <si>
    <t>EA Credit: Optimize Energy Performance</t>
  </si>
  <si>
    <t>18 pts @ 50%+ savings; 14 pts @ 40%; 10 pts @ 30%; 6 pts @ 20%</t>
  </si>
  <si>
    <t>EA Credit: Advanced Energy Metering</t>
  </si>
  <si>
    <t>Assumed smart metering installed with retrofit</t>
  </si>
  <si>
    <t>EA Credit: Renewable Energy Production</t>
  </si>
  <si>
    <t>3 pts @ ≥30 kW; 2 pts @ ≥20 kW; 1 pt @ any solar</t>
  </si>
  <si>
    <t>EA Credit: Enhanced Commissioning</t>
  </si>
  <si>
    <t>Enhanced Cx with monitoring-based Cx (2 pts assumed)</t>
  </si>
  <si>
    <t xml:space="preserve">  MATERIALS &amp; RESOURCES (MR)</t>
  </si>
  <si>
    <t>MR Credit: Construction Waste Management</t>
  </si>
  <si>
    <t>50%+ diversion assumed with recycling plan</t>
  </si>
  <si>
    <t>MR Credit: Low-Emitting Materials</t>
  </si>
  <si>
    <t>Low-VOC paints, adhesives, flooring specified</t>
  </si>
  <si>
    <t xml:space="preserve">  INDOOR ENVIRONMENTAL QUALITY (EQ)</t>
  </si>
  <si>
    <t>EQ Credit: Enhanced IAQ Strategies</t>
  </si>
  <si>
    <t>MERV-13 filtration + additional air monitoring</t>
  </si>
  <si>
    <t>EQ Credit: Thermal Comfort</t>
  </si>
  <si>
    <t>New HVAC enables compliant thermal comfort per ASHRAE 55</t>
  </si>
  <si>
    <t>EQ Credit: Interior Lighting Quality</t>
  </si>
  <si>
    <t>LED retrofit enables tunable/dimmable lighting control</t>
  </si>
  <si>
    <t>EQ Credit: Daylight</t>
  </si>
  <si>
    <t>Window upgrade improves VLT for daylighting credit</t>
  </si>
  <si>
    <t xml:space="preserve">  INNOVATION (IN)</t>
  </si>
  <si>
    <t>IN Credit: Innovation</t>
  </si>
  <si>
    <t>2 innovative strategies assumed in retrofit design</t>
  </si>
  <si>
    <t>IN Credit: LEED Accredited Professional</t>
  </si>
  <si>
    <t>LEED GA on project team (Suhas Ravi, LEED GA)</t>
  </si>
  <si>
    <t xml:space="preserve">  REGIONAL PRIORITY (RP) — DALLAS-FORT WORTH, TX</t>
  </si>
  <si>
    <t>RP Credit: Water Efficiency (DFW priority)</t>
  </si>
  <si>
    <t>DFW regional priority: water conservation</t>
  </si>
  <si>
    <t>RP Credit: Energy Optimization (DFW)</t>
  </si>
  <si>
    <t>DFW regional priority: energy performance</t>
  </si>
  <si>
    <t>TOTAL ESTIMATED LEED POINTS</t>
  </si>
  <si>
    <t>Projected Certification Level</t>
  </si>
  <si>
    <t>Thresholds: Certified = 40–49 pts | Silver = 50–59 pts | Gold = 60–79 pts | Platinum = 80+ pts</t>
  </si>
  <si>
    <t>LEED RETROFIT SUMMARY REPORT</t>
  </si>
  <si>
    <t xml:space="preserve">  PROJECT INFORMATION</t>
  </si>
  <si>
    <t>Gross Floor Area (sq ft)</t>
  </si>
  <si>
    <t>Climate Zone</t>
  </si>
  <si>
    <t>Current Annual Energy Cost</t>
  </si>
  <si>
    <t>Current Annual Water Cost</t>
  </si>
  <si>
    <t xml:space="preserve">  ENERGY SAVINGS</t>
  </si>
  <si>
    <t>Total Annual kBtu Saved</t>
  </si>
  <si>
    <t>Annual Energy Cost Savings</t>
  </si>
  <si>
    <t>Energy Reduction (%)</t>
  </si>
  <si>
    <t xml:space="preserve">  WATER SAVINGS</t>
  </si>
  <si>
    <t>Total Annual Gallons Saved</t>
  </si>
  <si>
    <t>Annual Water Cost Savings</t>
  </si>
  <si>
    <t xml:space="preserve">  COMBINED ANNUAL SAVINGS</t>
  </si>
  <si>
    <t>Total Annual Cost Savings</t>
  </si>
  <si>
    <t>Total Savings as % of Bills</t>
  </si>
  <si>
    <t xml:space="preserve">  LEED CERTIFICATION</t>
  </si>
  <si>
    <t>Total Estimated LEED Points</t>
  </si>
  <si>
    <t>Points to Next Level</t>
  </si>
  <si>
    <t xml:space="preserve">  RETROFIT MEASURES SELECTED</t>
  </si>
  <si>
    <t>HVAC High-Efficiency Upgrade</t>
  </si>
  <si>
    <t>LED Lighting Retrofit</t>
  </si>
  <si>
    <t>Roof Insulation Upgrade</t>
  </si>
  <si>
    <t>High-Performance Windows</t>
  </si>
  <si>
    <t>WaterSense Toilets</t>
  </si>
  <si>
    <t>WaterSense Faucets</t>
  </si>
  <si>
    <t>WaterSense Urinals</t>
  </si>
  <si>
    <t>Rooftop Solar PV</t>
  </si>
  <si>
    <t>Generated by: LEED v4.1 Retrofit Savings Calculator | Suhas Ravi, CMIT, LEED GA | linkedin.com/in/suhasravi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</si>
</sst>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kBtu&quot;"/>
    <numFmt numFmtId="165" formatCode="\$#,##0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616161"/>
      <name val="Arial"/>
      <charset val="1"/>
    </font>
    <font>
      <sz val="9"/>
      <color rgb="FF616161"/>
      <name val="Arial"/>
      <charset val="1"/>
    </font>
    <font>
      <i/>
      <sz val="9"/>
      <color rgb="FF664400"/>
      <name val="Arial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B5E20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616161"/>
      <name val="Arial"/>
      <charset val="1"/>
    </font>
    <font>
      <b/>
      <sz val="20"/>
      <color rgb="FFFFFFFF"/>
      <name val="Arial"/>
      <charset val="1"/>
    </font>
    <font>
      <i/>
      <sz val="12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1B5E2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E5631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5F5F5"/>
      </patternFill>
    </fill>
    <fill>
      <patternFill patternType="solid">
        <fgColor rgb="FFFFF8E1"/>
        <bgColor rgb="FFFFFDE7"/>
      </patternFill>
    </fill>
    <fill>
      <patternFill patternType="solid">
        <fgColor rgb="FFF5F5F5"/>
        <bgColor rgb="FFE8F5E9"/>
      </patternFill>
    </fill>
    <fill>
      <patternFill patternType="solid">
        <fgColor rgb="FF1F3864"/>
        <bgColor rgb="FF1E5631"/>
      </patternFill>
    </fill>
    <fill>
      <patternFill patternType="solid">
        <fgColor rgb="FFFFFFFF"/>
        <bgColor rgb="FFFFFDE7"/>
      </patternFill>
    </fill>
    <fill>
      <patternFill patternType="solid">
        <fgColor rgb="FFDEEAF1"/>
        <bgColor rgb="FFE8F5E9"/>
      </patternFill>
    </fill>
    <fill>
      <patternFill patternType="solid">
        <fgColor rgb="FFFFFDE7"/>
        <bgColor rgb="FFFFF8E1"/>
      </patternFill>
    </fill>
    <fill>
      <patternFill patternType="solid">
        <fgColor rgb="FF2F5597"/>
        <bgColor rgb="FF1F38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11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6" fontId="11" fillId="4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5" fontId="3" fillId="7" borderId="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1" fontId="14" fillId="2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 wrapText="1"/>
    </xf>
    <xf numFmtId="3" fontId="18" fillId="6" borderId="1" xfId="0" applyNumberFormat="1" applyFont="1" applyFill="1" applyBorder="1" applyAlignment="1">
      <alignment horizontal="center" vertical="center" wrapText="1"/>
    </xf>
    <xf numFmtId="165" fontId="18" fillId="6" borderId="1" xfId="0" applyNumberFormat="1" applyFont="1" applyFill="1" applyBorder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 wrapText="1"/>
    </xf>
    <xf numFmtId="166" fontId="19" fillId="4" borderId="1" xfId="0" applyNumberFormat="1" applyFont="1" applyFill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" fontId="18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sz val="12"/>
        <color rgb="FF1B5E20"/>
        <name val="Arial"/>
        <charset val="1"/>
      </font>
      <fill>
        <patternFill>
          <bgColor rgb="FFE8F5E9"/>
        </patternFill>
      </fill>
    </dxf>
    <dxf>
      <font>
        <b/>
        <sz val="12"/>
        <color rgb="FF7B5800"/>
        <name val="Arial"/>
        <charset val="1"/>
      </font>
      <fill>
        <patternFill>
          <bgColor rgb="FFFFFD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B58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277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5F5F5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616161"/>
      <rgbColor rgb="FF969696"/>
      <rgbColor rgb="FF1F3864"/>
      <rgbColor rgb="FF2E7D32"/>
      <rgbColor rgb="FF003300"/>
      <rgbColor rgb="FF664400"/>
      <rgbColor rgb="FF993300"/>
      <rgbColor rgb="FF993366"/>
      <rgbColor rgb="FF2F5597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5631"/>
  </sheetPr>
  <dimension ref="B1:E47"/>
  <sheetViews>
    <sheetView showGridLines="0" tabSelected="1" zoomScaleNormal="100" workbookViewId="0">
      <selection activeCell="C7" sqref="C7"/>
    </sheetView>
  </sheetViews>
  <sheetFormatPr defaultColWidth="8.7109375" defaultRowHeight="15" x14ac:dyDescent="0.25"/>
  <cols>
    <col min="1" max="1" width="3" customWidth="1"/>
    <col min="2" max="2" width="34" customWidth="1"/>
    <col min="3" max="3" width="20" customWidth="1"/>
    <col min="4" max="4" width="14" customWidth="1"/>
    <col min="5" max="5" width="46.7109375" customWidth="1"/>
    <col min="6" max="6" width="3" customWidth="1"/>
  </cols>
  <sheetData>
    <row r="1" spans="2:5" ht="49.5" customHeight="1" x14ac:dyDescent="0.25">
      <c r="B1" s="12" t="s">
        <v>0</v>
      </c>
      <c r="C1" s="12"/>
      <c r="D1" s="12"/>
      <c r="E1" s="12"/>
    </row>
    <row r="2" spans="2:5" ht="15" customHeight="1" x14ac:dyDescent="0.25">
      <c r="B2" s="11" t="s">
        <v>1</v>
      </c>
      <c r="C2" s="11"/>
      <c r="D2" s="11"/>
      <c r="E2" s="11"/>
    </row>
    <row r="4" spans="2:5" ht="24" customHeight="1" x14ac:dyDescent="0.25">
      <c r="B4" s="10" t="s">
        <v>2</v>
      </c>
      <c r="C4" s="10"/>
      <c r="D4" s="10"/>
      <c r="E4" s="10"/>
    </row>
    <row r="5" spans="2:5" ht="19.5" customHeight="1" x14ac:dyDescent="0.25">
      <c r="B5" s="13" t="s">
        <v>3</v>
      </c>
      <c r="C5" s="14" t="s">
        <v>4</v>
      </c>
      <c r="E5" s="15" t="s">
        <v>5</v>
      </c>
    </row>
    <row r="6" spans="2:5" ht="19.5" customHeight="1" x14ac:dyDescent="0.25">
      <c r="B6" s="13" t="s">
        <v>6</v>
      </c>
      <c r="C6" s="14" t="s">
        <v>7</v>
      </c>
      <c r="E6" s="15" t="s">
        <v>8</v>
      </c>
    </row>
    <row r="7" spans="2:5" ht="19.5" customHeight="1" x14ac:dyDescent="0.25">
      <c r="B7" s="13" t="s">
        <v>9</v>
      </c>
      <c r="C7" s="14">
        <v>8500</v>
      </c>
      <c r="D7" s="16" t="s">
        <v>10</v>
      </c>
      <c r="E7" s="15" t="s">
        <v>11</v>
      </c>
    </row>
    <row r="8" spans="2:5" ht="19.5" customHeight="1" x14ac:dyDescent="0.25">
      <c r="B8" s="13" t="s">
        <v>12</v>
      </c>
      <c r="C8" s="14">
        <v>2</v>
      </c>
      <c r="D8" s="16" t="s">
        <v>13</v>
      </c>
    </row>
    <row r="9" spans="2:5" ht="19.5" customHeight="1" x14ac:dyDescent="0.25">
      <c r="B9" s="13" t="s">
        <v>14</v>
      </c>
      <c r="C9" s="14">
        <v>1998</v>
      </c>
      <c r="E9" s="15" t="s">
        <v>15</v>
      </c>
    </row>
    <row r="10" spans="2:5" ht="19.5" customHeight="1" x14ac:dyDescent="0.25">
      <c r="B10" s="13" t="s">
        <v>16</v>
      </c>
      <c r="C10" s="14" t="s">
        <v>17</v>
      </c>
      <c r="E10" s="15" t="s">
        <v>18</v>
      </c>
    </row>
    <row r="11" spans="2:5" ht="19.5" customHeight="1" x14ac:dyDescent="0.25">
      <c r="B11" s="13" t="s">
        <v>19</v>
      </c>
      <c r="C11" s="14">
        <v>55</v>
      </c>
      <c r="D11" s="16" t="s">
        <v>20</v>
      </c>
      <c r="E11" s="15" t="s">
        <v>21</v>
      </c>
    </row>
    <row r="12" spans="2:5" ht="19.5" customHeight="1" x14ac:dyDescent="0.25">
      <c r="B12" s="13" t="s">
        <v>22</v>
      </c>
      <c r="C12" s="14">
        <v>45</v>
      </c>
      <c r="D12" s="16" t="s">
        <v>23</v>
      </c>
      <c r="E12" s="15" t="s">
        <v>24</v>
      </c>
    </row>
    <row r="13" spans="2:5" ht="19.5" customHeight="1" x14ac:dyDescent="0.25">
      <c r="B13" s="13" t="s">
        <v>25</v>
      </c>
      <c r="C13" s="14">
        <v>28400</v>
      </c>
      <c r="D13" s="16" t="s">
        <v>26</v>
      </c>
      <c r="E13" s="15" t="s">
        <v>27</v>
      </c>
    </row>
    <row r="14" spans="2:5" ht="19.5" customHeight="1" x14ac:dyDescent="0.25">
      <c r="B14" s="13" t="s">
        <v>28</v>
      </c>
      <c r="C14" s="14">
        <v>0.12</v>
      </c>
      <c r="D14" s="16" t="s">
        <v>29</v>
      </c>
      <c r="E14" s="15" t="s">
        <v>30</v>
      </c>
    </row>
    <row r="15" spans="2:5" ht="19.5" customHeight="1" x14ac:dyDescent="0.25">
      <c r="B15" s="13" t="s">
        <v>31</v>
      </c>
      <c r="C15" s="14">
        <v>0.85</v>
      </c>
      <c r="D15" s="16" t="s">
        <v>32</v>
      </c>
      <c r="E15" s="15" t="s">
        <v>33</v>
      </c>
    </row>
    <row r="16" spans="2:5" ht="19.5" customHeight="1" x14ac:dyDescent="0.25">
      <c r="B16" s="13" t="s">
        <v>34</v>
      </c>
      <c r="C16" s="14">
        <v>4200</v>
      </c>
      <c r="D16" s="16" t="s">
        <v>26</v>
      </c>
      <c r="E16" s="15" t="s">
        <v>27</v>
      </c>
    </row>
    <row r="17" spans="2:5" ht="19.5" customHeight="1" x14ac:dyDescent="0.25">
      <c r="B17" s="13" t="s">
        <v>35</v>
      </c>
      <c r="C17" s="14">
        <v>6.0000000000000001E-3</v>
      </c>
      <c r="D17" s="16" t="s">
        <v>36</v>
      </c>
      <c r="E17" s="15" t="s">
        <v>37</v>
      </c>
    </row>
    <row r="19" spans="2:5" ht="24" customHeight="1" x14ac:dyDescent="0.25">
      <c r="B19" s="10" t="s">
        <v>38</v>
      </c>
      <c r="C19" s="10"/>
      <c r="D19" s="10"/>
      <c r="E19" s="10"/>
    </row>
    <row r="20" spans="2:5" ht="19.5" customHeight="1" x14ac:dyDescent="0.25">
      <c r="B20" s="13" t="s">
        <v>39</v>
      </c>
      <c r="C20" s="14" t="s">
        <v>40</v>
      </c>
      <c r="E20" s="15" t="s">
        <v>41</v>
      </c>
    </row>
    <row r="21" spans="2:5" ht="19.5" customHeight="1" x14ac:dyDescent="0.25">
      <c r="B21" s="13" t="s">
        <v>42</v>
      </c>
      <c r="C21" s="14">
        <v>10</v>
      </c>
      <c r="E21" s="15" t="s">
        <v>43</v>
      </c>
    </row>
    <row r="22" spans="2:5" ht="19.5" customHeight="1" x14ac:dyDescent="0.25">
      <c r="B22" s="13" t="s">
        <v>44</v>
      </c>
      <c r="C22" s="14" t="s">
        <v>45</v>
      </c>
      <c r="E22" s="15" t="s">
        <v>46</v>
      </c>
    </row>
    <row r="23" spans="2:5" ht="19.5" customHeight="1" x14ac:dyDescent="0.25">
      <c r="B23" s="13" t="s">
        <v>47</v>
      </c>
      <c r="C23" s="14">
        <v>1.1000000000000001</v>
      </c>
      <c r="D23" s="16" t="s">
        <v>48</v>
      </c>
      <c r="E23" s="15" t="s">
        <v>49</v>
      </c>
    </row>
    <row r="24" spans="2:5" ht="19.5" customHeight="1" x14ac:dyDescent="0.25">
      <c r="B24" s="13" t="s">
        <v>50</v>
      </c>
      <c r="C24" s="14">
        <v>20</v>
      </c>
      <c r="E24" s="15" t="s">
        <v>51</v>
      </c>
    </row>
    <row r="25" spans="2:5" ht="19.5" customHeight="1" x14ac:dyDescent="0.25">
      <c r="B25" s="13" t="s">
        <v>52</v>
      </c>
      <c r="C25" s="14">
        <v>0.65</v>
      </c>
      <c r="E25" s="15" t="s">
        <v>53</v>
      </c>
    </row>
    <row r="26" spans="2:5" ht="19.5" customHeight="1" x14ac:dyDescent="0.25">
      <c r="B26" s="13" t="s">
        <v>54</v>
      </c>
      <c r="C26" s="14">
        <v>1.6</v>
      </c>
      <c r="D26" s="16" t="s">
        <v>55</v>
      </c>
      <c r="E26" s="15" t="s">
        <v>56</v>
      </c>
    </row>
    <row r="27" spans="2:5" ht="19.5" customHeight="1" x14ac:dyDescent="0.25">
      <c r="B27" s="13" t="s">
        <v>57</v>
      </c>
      <c r="C27" s="14">
        <v>1</v>
      </c>
      <c r="D27" s="16" t="s">
        <v>55</v>
      </c>
      <c r="E27" s="15" t="s">
        <v>58</v>
      </c>
    </row>
    <row r="28" spans="2:5" ht="19.5" customHeight="1" x14ac:dyDescent="0.25">
      <c r="B28" s="13" t="s">
        <v>59</v>
      </c>
      <c r="C28" s="14">
        <v>2.2000000000000002</v>
      </c>
      <c r="D28" s="16" t="s">
        <v>60</v>
      </c>
      <c r="E28" s="15" t="s">
        <v>61</v>
      </c>
    </row>
    <row r="29" spans="2:5" ht="19.5" customHeight="1" x14ac:dyDescent="0.25">
      <c r="B29" s="13" t="s">
        <v>62</v>
      </c>
      <c r="C29" s="14">
        <v>2.2000000000000002</v>
      </c>
      <c r="D29" s="16" t="s">
        <v>60</v>
      </c>
      <c r="E29" s="15" t="s">
        <v>63</v>
      </c>
    </row>
    <row r="30" spans="2:5" ht="19.5" customHeight="1" x14ac:dyDescent="0.25">
      <c r="B30" s="13" t="s">
        <v>64</v>
      </c>
      <c r="C30" s="14" t="s">
        <v>65</v>
      </c>
      <c r="E30" s="15" t="s">
        <v>66</v>
      </c>
    </row>
    <row r="32" spans="2:5" ht="24" customHeight="1" x14ac:dyDescent="0.25">
      <c r="B32" s="10" t="s">
        <v>67</v>
      </c>
      <c r="C32" s="10"/>
      <c r="D32" s="10"/>
      <c r="E32" s="10"/>
    </row>
    <row r="33" spans="2:5" ht="19.5" customHeight="1" x14ac:dyDescent="0.25">
      <c r="B33" s="13" t="s">
        <v>68</v>
      </c>
      <c r="C33" s="14" t="s">
        <v>69</v>
      </c>
      <c r="E33" s="15" t="s">
        <v>66</v>
      </c>
    </row>
    <row r="34" spans="2:5" ht="19.5" customHeight="1" x14ac:dyDescent="0.25">
      <c r="B34" s="13" t="s">
        <v>70</v>
      </c>
      <c r="C34" s="14">
        <v>20</v>
      </c>
      <c r="E34" s="15" t="s">
        <v>71</v>
      </c>
    </row>
    <row r="35" spans="2:5" ht="19.5" customHeight="1" x14ac:dyDescent="0.25">
      <c r="B35" s="13" t="s">
        <v>72</v>
      </c>
      <c r="C35" s="14" t="s">
        <v>69</v>
      </c>
      <c r="E35" s="15" t="s">
        <v>66</v>
      </c>
    </row>
    <row r="36" spans="2:5" ht="19.5" customHeight="1" x14ac:dyDescent="0.25">
      <c r="B36" s="13" t="s">
        <v>73</v>
      </c>
      <c r="C36" s="14">
        <v>0.6</v>
      </c>
      <c r="D36" s="16" t="s">
        <v>48</v>
      </c>
      <c r="E36" s="15" t="s">
        <v>74</v>
      </c>
    </row>
    <row r="37" spans="2:5" ht="19.5" customHeight="1" x14ac:dyDescent="0.25">
      <c r="B37" s="13" t="s">
        <v>75</v>
      </c>
      <c r="C37" s="14" t="s">
        <v>69</v>
      </c>
      <c r="E37" s="15" t="s">
        <v>66</v>
      </c>
    </row>
    <row r="38" spans="2:5" ht="19.5" customHeight="1" x14ac:dyDescent="0.25">
      <c r="B38" s="13" t="s">
        <v>76</v>
      </c>
      <c r="C38" s="14">
        <v>30</v>
      </c>
      <c r="E38" s="15" t="s">
        <v>77</v>
      </c>
    </row>
    <row r="39" spans="2:5" ht="19.5" customHeight="1" x14ac:dyDescent="0.25">
      <c r="B39" s="13" t="s">
        <v>78</v>
      </c>
      <c r="C39" s="14" t="s">
        <v>69</v>
      </c>
      <c r="E39" s="15" t="s">
        <v>66</v>
      </c>
    </row>
    <row r="40" spans="2:5" ht="19.5" customHeight="1" x14ac:dyDescent="0.25">
      <c r="B40" s="13" t="s">
        <v>79</v>
      </c>
      <c r="C40" s="14">
        <v>0.35</v>
      </c>
      <c r="E40" s="15" t="s">
        <v>80</v>
      </c>
    </row>
    <row r="41" spans="2:5" ht="19.5" customHeight="1" x14ac:dyDescent="0.25">
      <c r="B41" s="13" t="s">
        <v>81</v>
      </c>
      <c r="C41" s="14" t="s">
        <v>69</v>
      </c>
      <c r="E41" s="15" t="s">
        <v>82</v>
      </c>
    </row>
    <row r="42" spans="2:5" ht="19.5" customHeight="1" x14ac:dyDescent="0.25">
      <c r="B42" s="13" t="s">
        <v>83</v>
      </c>
      <c r="C42" s="14" t="s">
        <v>69</v>
      </c>
      <c r="E42" s="15" t="s">
        <v>84</v>
      </c>
    </row>
    <row r="43" spans="2:5" ht="19.5" customHeight="1" x14ac:dyDescent="0.25">
      <c r="B43" s="13" t="s">
        <v>85</v>
      </c>
      <c r="C43" s="14" t="s">
        <v>69</v>
      </c>
      <c r="E43" s="15" t="s">
        <v>86</v>
      </c>
    </row>
    <row r="44" spans="2:5" ht="19.5" customHeight="1" x14ac:dyDescent="0.25">
      <c r="B44" s="13" t="s">
        <v>87</v>
      </c>
      <c r="C44" s="14" t="s">
        <v>69</v>
      </c>
      <c r="E44" s="15" t="s">
        <v>66</v>
      </c>
    </row>
    <row r="45" spans="2:5" ht="19.5" customHeight="1" x14ac:dyDescent="0.25">
      <c r="B45" s="13" t="s">
        <v>88</v>
      </c>
      <c r="C45" s="14">
        <v>30</v>
      </c>
      <c r="D45" s="16" t="s">
        <v>89</v>
      </c>
      <c r="E45" s="15" t="s">
        <v>90</v>
      </c>
    </row>
    <row r="47" spans="2:5" ht="22.35" customHeight="1" x14ac:dyDescent="0.25">
      <c r="B47" s="9" t="s">
        <v>91</v>
      </c>
      <c r="C47" s="9"/>
      <c r="D47" s="9"/>
      <c r="E47" s="9"/>
    </row>
  </sheetData>
  <mergeCells count="6">
    <mergeCell ref="B47:E47"/>
    <mergeCell ref="B1:E1"/>
    <mergeCell ref="B2:E2"/>
    <mergeCell ref="B4:E4"/>
    <mergeCell ref="B19:E19"/>
    <mergeCell ref="B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B1:F13"/>
  <sheetViews>
    <sheetView showGridLines="0" zoomScaleNormal="100" workbookViewId="0">
      <selection activeCell="F23" sqref="F23"/>
    </sheetView>
  </sheetViews>
  <sheetFormatPr defaultColWidth="8.7109375" defaultRowHeight="15" x14ac:dyDescent="0.25"/>
  <cols>
    <col min="1" max="1" width="3" customWidth="1"/>
    <col min="2" max="2" width="46.42578125" customWidth="1"/>
    <col min="3" max="5" width="18" customWidth="1"/>
    <col min="6" max="6" width="16" customWidth="1"/>
    <col min="7" max="7" width="3" customWidth="1"/>
  </cols>
  <sheetData>
    <row r="1" spans="2:6" ht="45" customHeight="1" x14ac:dyDescent="0.25">
      <c r="B1" s="8" t="s">
        <v>92</v>
      </c>
      <c r="C1" s="8"/>
      <c r="D1" s="8"/>
      <c r="E1" s="8"/>
      <c r="F1" s="8"/>
    </row>
    <row r="3" spans="2:6" ht="30" customHeight="1" x14ac:dyDescent="0.25">
      <c r="B3" s="17" t="s">
        <v>93</v>
      </c>
      <c r="C3" s="17" t="s">
        <v>94</v>
      </c>
      <c r="D3" s="17" t="s">
        <v>95</v>
      </c>
      <c r="E3" s="17" t="s">
        <v>96</v>
      </c>
      <c r="F3" s="17" t="s">
        <v>97</v>
      </c>
    </row>
    <row r="4" spans="2:6" ht="18" customHeight="1" x14ac:dyDescent="0.25">
      <c r="B4" s="13" t="s">
        <v>98</v>
      </c>
      <c r="C4" s="18">
        <f>ROUND((Inputs!C13/Inputs!C14)*3.412*0.4,0)</f>
        <v>323003</v>
      </c>
      <c r="D4" s="18">
        <f>IF(Inputs!C33="Yes",ROUND(C4*(Inputs!C21/Inputs!C34),0),C4)</f>
        <v>161502</v>
      </c>
      <c r="E4" s="19">
        <f>C4-D4</f>
        <v>161501</v>
      </c>
      <c r="F4" s="20">
        <f>ROUND(E4/3.412*Inputs!C14,0)</f>
        <v>5680</v>
      </c>
    </row>
    <row r="5" spans="2:6" ht="18" customHeight="1" x14ac:dyDescent="0.25">
      <c r="B5" s="21" t="s">
        <v>99</v>
      </c>
      <c r="C5" s="18">
        <f>ROUND(Inputs!C23*Inputs!C7*(Inputs!C11*52)/1000*3.412,0)</f>
        <v>91240</v>
      </c>
      <c r="D5" s="18">
        <f>IF(Inputs!C35="Yes",ROUND(Inputs!C36*Inputs!C7*(Inputs!C11*52)/1000*3.412,0),C5)</f>
        <v>49767</v>
      </c>
      <c r="E5" s="19">
        <f>C5-D5</f>
        <v>41473</v>
      </c>
      <c r="F5" s="20">
        <f>ROUND(E5/3.412*Inputs!C14,0)</f>
        <v>1459</v>
      </c>
    </row>
    <row r="6" spans="2:6" ht="18" customHeight="1" x14ac:dyDescent="0.25">
      <c r="B6" s="13" t="s">
        <v>100</v>
      </c>
      <c r="C6" s="18">
        <f>ROUND((Inputs!C13/Inputs!C14)*3.412*0.1,0)</f>
        <v>80751</v>
      </c>
      <c r="D6" s="18">
        <f>IF(Inputs!C37="Yes",ROUND(C6*(1-(1-Inputs!C24/Inputs!C38)*0.5),0),C6)</f>
        <v>67293</v>
      </c>
      <c r="E6" s="19">
        <f>C6-D6</f>
        <v>13458</v>
      </c>
      <c r="F6" s="20">
        <f>ROUND(E6/3.412*Inputs!C14,0)</f>
        <v>473</v>
      </c>
    </row>
    <row r="7" spans="2:6" ht="18" customHeight="1" x14ac:dyDescent="0.25">
      <c r="B7" s="21" t="s">
        <v>101</v>
      </c>
      <c r="C7" s="18">
        <f>ROUND((Inputs!C13/Inputs!C14)*3.412*0.08,0)</f>
        <v>64601</v>
      </c>
      <c r="D7" s="18">
        <f>IF(Inputs!C39="Yes",ROUND(C7*(Inputs!C40/Inputs!C25),0),C7)</f>
        <v>34785</v>
      </c>
      <c r="E7" s="19">
        <f>C7-D7</f>
        <v>29816</v>
      </c>
      <c r="F7" s="20">
        <f>ROUND(E7/3.412*Inputs!C14,0)</f>
        <v>1049</v>
      </c>
    </row>
    <row r="8" spans="2:6" ht="18" customHeight="1" x14ac:dyDescent="0.25">
      <c r="B8" s="13" t="s">
        <v>102</v>
      </c>
      <c r="C8" s="18" t="s">
        <v>103</v>
      </c>
      <c r="D8" s="18" t="s">
        <v>103</v>
      </c>
      <c r="E8" s="19">
        <f>IF(Inputs!C44="Yes",ROUND(Inputs!C45*1460*3.412,0),0)</f>
        <v>149446</v>
      </c>
      <c r="F8" s="20">
        <f>ROUND(E8/3.412*Inputs!C14,0)</f>
        <v>5256</v>
      </c>
    </row>
    <row r="10" spans="2:6" ht="21.75" customHeight="1" x14ac:dyDescent="0.25">
      <c r="B10" s="22" t="s">
        <v>104</v>
      </c>
      <c r="E10" s="23">
        <f>SUM(E4:E8)</f>
        <v>395694</v>
      </c>
      <c r="F10" s="24">
        <f>SUM(F4:F8)</f>
        <v>13917</v>
      </c>
    </row>
    <row r="11" spans="2:6" ht="19.5" customHeight="1" x14ac:dyDescent="0.25">
      <c r="B11" s="13" t="s">
        <v>105</v>
      </c>
      <c r="F11" s="25">
        <f>IFERROR(F10/Inputs!C13,0)</f>
        <v>0.49003521126760563</v>
      </c>
    </row>
    <row r="13" spans="2:6" ht="30" customHeight="1" x14ac:dyDescent="0.25">
      <c r="B13" s="7" t="s">
        <v>106</v>
      </c>
      <c r="C13" s="7"/>
      <c r="D13" s="7"/>
      <c r="E13" s="7"/>
      <c r="F13" s="7"/>
    </row>
  </sheetData>
  <mergeCells count="2">
    <mergeCell ref="B1:F1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77BD"/>
  </sheetPr>
  <dimension ref="B1:F1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5.5703125" customWidth="1"/>
    <col min="3" max="4" width="16" customWidth="1"/>
    <col min="5" max="5" width="18" customWidth="1"/>
    <col min="6" max="6" width="16" customWidth="1"/>
    <col min="7" max="7" width="3" customWidth="1"/>
  </cols>
  <sheetData>
    <row r="1" spans="2:6" ht="45" customHeight="1" x14ac:dyDescent="0.25">
      <c r="B1" s="6" t="s">
        <v>107</v>
      </c>
      <c r="C1" s="6"/>
      <c r="D1" s="6"/>
      <c r="E1" s="6"/>
      <c r="F1" s="6"/>
    </row>
    <row r="3" spans="2:6" ht="25.5" x14ac:dyDescent="0.25">
      <c r="B3" s="17" t="s">
        <v>108</v>
      </c>
      <c r="C3" s="17" t="s">
        <v>109</v>
      </c>
      <c r="D3" s="17" t="s">
        <v>110</v>
      </c>
      <c r="E3" s="17" t="s">
        <v>111</v>
      </c>
      <c r="F3" s="17" t="s">
        <v>97</v>
      </c>
    </row>
    <row r="4" spans="2:6" ht="18" customHeight="1" x14ac:dyDescent="0.25">
      <c r="B4" s="26" t="s">
        <v>112</v>
      </c>
      <c r="C4" s="27">
        <f>Inputs!C26</f>
        <v>1.6</v>
      </c>
      <c r="D4" s="27">
        <f>IF(Inputs!C41="Yes",1.28,Inputs!C26)</f>
        <v>1.28</v>
      </c>
      <c r="E4" s="19">
        <f>ROUND((C4-D4)*3*Inputs!C12*260,0)</f>
        <v>11232</v>
      </c>
      <c r="F4" s="20">
        <f>ROUND(E4*Inputs!C17,0)</f>
        <v>67</v>
      </c>
    </row>
    <row r="5" spans="2:6" ht="18" customHeight="1" x14ac:dyDescent="0.25">
      <c r="B5" s="21" t="s">
        <v>113</v>
      </c>
      <c r="C5" s="27">
        <f>Inputs!C27</f>
        <v>1</v>
      </c>
      <c r="D5" s="27">
        <f>IF(Inputs!C43="Yes",0.5,Inputs!C27)</f>
        <v>0.5</v>
      </c>
      <c r="E5" s="19">
        <f>ROUND((C5-D5)*2*(Inputs!C12*0.5)*260,0)</f>
        <v>5850</v>
      </c>
      <c r="F5" s="20">
        <f>ROUND(E5*Inputs!C17,0)</f>
        <v>35</v>
      </c>
    </row>
    <row r="6" spans="2:6" ht="18" customHeight="1" x14ac:dyDescent="0.25">
      <c r="B6" s="26" t="s">
        <v>114</v>
      </c>
      <c r="C6" s="27">
        <f>Inputs!C28</f>
        <v>2.2000000000000002</v>
      </c>
      <c r="D6" s="27">
        <f>IF(Inputs!C42="Yes",1.5,Inputs!C28)</f>
        <v>1.5</v>
      </c>
      <c r="E6" s="19">
        <f>ROUND((C6-D6)*0.5*3*Inputs!C12*260,0)</f>
        <v>12285</v>
      </c>
      <c r="F6" s="20">
        <f>ROUND(E6*Inputs!C17,0)</f>
        <v>74</v>
      </c>
    </row>
    <row r="7" spans="2:6" ht="18" customHeight="1" x14ac:dyDescent="0.25">
      <c r="B7" s="21" t="s">
        <v>115</v>
      </c>
      <c r="C7" s="27">
        <f>Inputs!C29</f>
        <v>2.2000000000000002</v>
      </c>
      <c r="D7" s="27">
        <f>IF(Inputs!C42="Yes",1.8,Inputs!C29)</f>
        <v>1.8</v>
      </c>
      <c r="E7" s="19">
        <f>ROUND((C7-D7)*15*Inputs!C12*260/60,0)</f>
        <v>1170</v>
      </c>
      <c r="F7" s="20">
        <f>ROUND(E7*Inputs!C17,0)</f>
        <v>7</v>
      </c>
    </row>
    <row r="9" spans="2:6" ht="21.75" customHeight="1" x14ac:dyDescent="0.25">
      <c r="B9" s="28" t="s">
        <v>116</v>
      </c>
      <c r="E9" s="29">
        <f>SUM(E4:E7)</f>
        <v>30537</v>
      </c>
      <c r="F9" s="30">
        <f>SUM(F4:F7)</f>
        <v>183</v>
      </c>
    </row>
    <row r="10" spans="2:6" x14ac:dyDescent="0.25">
      <c r="B10" s="26" t="s">
        <v>117</v>
      </c>
      <c r="F10" s="25">
        <f>IFERROR(F9/Inputs!C16,0)</f>
        <v>4.3571428571428573E-2</v>
      </c>
    </row>
    <row r="12" spans="2:6" ht="22.35" customHeight="1" x14ac:dyDescent="0.25">
      <c r="B12" s="7" t="s">
        <v>118</v>
      </c>
      <c r="C12" s="7"/>
      <c r="D12" s="7"/>
      <c r="E12" s="7"/>
      <c r="F12" s="7"/>
    </row>
  </sheetData>
  <mergeCells count="2">
    <mergeCell ref="B1:F1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A825"/>
  </sheetPr>
  <dimension ref="B1:E4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0.42578125" customWidth="1"/>
    <col min="3" max="4" width="14" customWidth="1"/>
    <col min="5" max="5" width="57" customWidth="1"/>
    <col min="6" max="6" width="3" customWidth="1"/>
  </cols>
  <sheetData>
    <row r="1" spans="2:5" ht="45" customHeight="1" x14ac:dyDescent="0.25">
      <c r="B1" s="8" t="s">
        <v>119</v>
      </c>
      <c r="C1" s="8"/>
      <c r="D1" s="8"/>
      <c r="E1" s="8"/>
    </row>
    <row r="2" spans="2:5" ht="15" customHeight="1" x14ac:dyDescent="0.25">
      <c r="B2" s="11" t="s">
        <v>120</v>
      </c>
      <c r="C2" s="11"/>
      <c r="D2" s="11"/>
      <c r="E2" s="11"/>
    </row>
    <row r="4" spans="2:5" ht="25.5" x14ac:dyDescent="0.25">
      <c r="B4" s="17" t="s">
        <v>121</v>
      </c>
      <c r="C4" s="17" t="s">
        <v>122</v>
      </c>
      <c r="D4" s="17" t="s">
        <v>123</v>
      </c>
      <c r="E4" s="17" t="s">
        <v>124</v>
      </c>
    </row>
    <row r="5" spans="2:5" ht="19.5" customHeight="1" x14ac:dyDescent="0.25">
      <c r="B5" s="5" t="s">
        <v>125</v>
      </c>
      <c r="C5" s="5"/>
      <c r="D5" s="31"/>
    </row>
    <row r="6" spans="2:5" ht="18" customHeight="1" x14ac:dyDescent="0.25">
      <c r="B6" s="13" t="s">
        <v>126</v>
      </c>
      <c r="C6" s="32">
        <v>2</v>
      </c>
      <c r="D6" s="33">
        <v>1</v>
      </c>
      <c r="E6" s="16" t="s">
        <v>127</v>
      </c>
    </row>
    <row r="7" spans="2:5" ht="18" customHeight="1" x14ac:dyDescent="0.25">
      <c r="B7" s="21" t="s">
        <v>128</v>
      </c>
      <c r="C7" s="32">
        <v>2</v>
      </c>
      <c r="D7" s="33">
        <f>IF(Inputs!C44="Yes",2,1)</f>
        <v>2</v>
      </c>
      <c r="E7" s="34" t="s">
        <v>129</v>
      </c>
    </row>
    <row r="8" spans="2:5" ht="18" customHeight="1" x14ac:dyDescent="0.25">
      <c r="B8" s="13" t="s">
        <v>130</v>
      </c>
      <c r="C8" s="32">
        <v>1</v>
      </c>
      <c r="D8" s="33">
        <v>1</v>
      </c>
      <c r="E8" s="16" t="s">
        <v>131</v>
      </c>
    </row>
    <row r="10" spans="2:5" ht="19.5" customHeight="1" x14ac:dyDescent="0.25">
      <c r="B10" s="5" t="s">
        <v>132</v>
      </c>
      <c r="C10" s="5"/>
      <c r="D10" s="31"/>
    </row>
    <row r="11" spans="2:5" ht="18" customHeight="1" x14ac:dyDescent="0.25">
      <c r="B11" s="21" t="s">
        <v>133</v>
      </c>
      <c r="C11" s="32">
        <v>0</v>
      </c>
      <c r="D11" s="33">
        <f>IF(AND(Inputs!C41="Yes",Inputs!C42="Yes",Inputs!C43="Yes"),0,0)</f>
        <v>0</v>
      </c>
      <c r="E11" s="34" t="s">
        <v>134</v>
      </c>
    </row>
    <row r="12" spans="2:5" ht="18" customHeight="1" x14ac:dyDescent="0.25">
      <c r="B12" s="13" t="s">
        <v>135</v>
      </c>
      <c r="C12" s="32">
        <v>6</v>
      </c>
      <c r="D12" s="33">
        <f>IF('Water Savings'!F10&gt;=0.4,6,IF('Water Savings'!F10&gt;=0.3,4,IF('Water Savings'!F10&gt;=0.2,2,0)))</f>
        <v>0</v>
      </c>
      <c r="E12" s="16" t="s">
        <v>136</v>
      </c>
    </row>
    <row r="13" spans="2:5" ht="18" customHeight="1" x14ac:dyDescent="0.25">
      <c r="B13" s="21" t="s">
        <v>137</v>
      </c>
      <c r="C13" s="32">
        <v>2</v>
      </c>
      <c r="D13" s="33">
        <v>1</v>
      </c>
      <c r="E13" s="34" t="s">
        <v>138</v>
      </c>
    </row>
    <row r="15" spans="2:5" ht="19.5" customHeight="1" x14ac:dyDescent="0.25">
      <c r="B15" s="5" t="s">
        <v>139</v>
      </c>
      <c r="C15" s="5"/>
      <c r="D15" s="31"/>
    </row>
    <row r="16" spans="2:5" ht="18" customHeight="1" x14ac:dyDescent="0.25">
      <c r="B16" s="13" t="s">
        <v>140</v>
      </c>
      <c r="C16" s="32">
        <v>0</v>
      </c>
      <c r="D16" s="33">
        <v>0</v>
      </c>
      <c r="E16" s="16" t="s">
        <v>141</v>
      </c>
    </row>
    <row r="17" spans="2:5" ht="18" customHeight="1" x14ac:dyDescent="0.25">
      <c r="B17" s="21" t="s">
        <v>142</v>
      </c>
      <c r="C17" s="32">
        <v>18</v>
      </c>
      <c r="D17" s="33">
        <f>IF('Energy Savings'!F11&gt;=0.5,18,IF('Energy Savings'!F11&gt;=0.4,14,IF('Energy Savings'!F11&gt;=0.3,10,IF('Energy Savings'!F11&gt;=0.2,6,IF('Energy Savings'!F11&gt;=0.1,2,0)))))</f>
        <v>14</v>
      </c>
      <c r="E17" s="34" t="s">
        <v>143</v>
      </c>
    </row>
    <row r="18" spans="2:5" ht="18" customHeight="1" x14ac:dyDescent="0.25">
      <c r="B18" s="13" t="s">
        <v>144</v>
      </c>
      <c r="C18" s="32">
        <v>1</v>
      </c>
      <c r="D18" s="33">
        <v>1</v>
      </c>
      <c r="E18" s="16" t="s">
        <v>145</v>
      </c>
    </row>
    <row r="19" spans="2:5" ht="18" customHeight="1" x14ac:dyDescent="0.25">
      <c r="B19" s="21" t="s">
        <v>146</v>
      </c>
      <c r="C19" s="32">
        <v>3</v>
      </c>
      <c r="D19" s="33">
        <f>IF(Inputs!C44="Yes",IF(Inputs!C45&gt;=30,3,IF(Inputs!C45&gt;=20,2,1)),0)</f>
        <v>3</v>
      </c>
      <c r="E19" s="34" t="s">
        <v>147</v>
      </c>
    </row>
    <row r="20" spans="2:5" ht="18" customHeight="1" x14ac:dyDescent="0.25">
      <c r="B20" s="13" t="s">
        <v>148</v>
      </c>
      <c r="C20" s="32">
        <v>6</v>
      </c>
      <c r="D20" s="33">
        <v>2</v>
      </c>
      <c r="E20" s="16" t="s">
        <v>149</v>
      </c>
    </row>
    <row r="22" spans="2:5" ht="19.5" customHeight="1" x14ac:dyDescent="0.25">
      <c r="B22" s="5" t="s">
        <v>150</v>
      </c>
      <c r="C22" s="5"/>
      <c r="D22" s="31"/>
    </row>
    <row r="23" spans="2:5" ht="18" customHeight="1" x14ac:dyDescent="0.25">
      <c r="B23" s="21" t="s">
        <v>151</v>
      </c>
      <c r="C23" s="32">
        <v>2</v>
      </c>
      <c r="D23" s="33">
        <v>1</v>
      </c>
      <c r="E23" s="34" t="s">
        <v>152</v>
      </c>
    </row>
    <row r="24" spans="2:5" ht="18" customHeight="1" x14ac:dyDescent="0.25">
      <c r="B24" s="13" t="s">
        <v>153</v>
      </c>
      <c r="C24" s="32">
        <v>3</v>
      </c>
      <c r="D24" s="33">
        <v>2</v>
      </c>
      <c r="E24" s="16" t="s">
        <v>154</v>
      </c>
    </row>
    <row r="26" spans="2:5" ht="19.5" customHeight="1" x14ac:dyDescent="0.25">
      <c r="B26" s="5" t="s">
        <v>155</v>
      </c>
      <c r="C26" s="5"/>
      <c r="D26" s="31"/>
    </row>
    <row r="27" spans="2:5" ht="18" customHeight="1" x14ac:dyDescent="0.25">
      <c r="B27" s="21" t="s">
        <v>156</v>
      </c>
      <c r="C27" s="32">
        <v>2</v>
      </c>
      <c r="D27" s="33">
        <v>1</v>
      </c>
      <c r="E27" s="34" t="s">
        <v>157</v>
      </c>
    </row>
    <row r="28" spans="2:5" ht="18" customHeight="1" x14ac:dyDescent="0.25">
      <c r="B28" s="13" t="s">
        <v>158</v>
      </c>
      <c r="C28" s="32">
        <v>1</v>
      </c>
      <c r="D28" s="33">
        <f>IF(Inputs!C33="Yes",1,0)</f>
        <v>1</v>
      </c>
      <c r="E28" s="16" t="s">
        <v>159</v>
      </c>
    </row>
    <row r="29" spans="2:5" ht="18" customHeight="1" x14ac:dyDescent="0.25">
      <c r="B29" s="21" t="s">
        <v>160</v>
      </c>
      <c r="C29" s="32">
        <v>2</v>
      </c>
      <c r="D29" s="33">
        <f>IF(Inputs!C35="Yes",2,0)</f>
        <v>2</v>
      </c>
      <c r="E29" s="34" t="s">
        <v>161</v>
      </c>
    </row>
    <row r="30" spans="2:5" ht="18" customHeight="1" x14ac:dyDescent="0.25">
      <c r="B30" s="13" t="s">
        <v>162</v>
      </c>
      <c r="C30" s="32">
        <v>3</v>
      </c>
      <c r="D30" s="33">
        <f>IF(Inputs!C39="Yes",2,0)</f>
        <v>2</v>
      </c>
      <c r="E30" s="16" t="s">
        <v>163</v>
      </c>
    </row>
    <row r="32" spans="2:5" ht="19.5" customHeight="1" x14ac:dyDescent="0.25">
      <c r="B32" s="5" t="s">
        <v>164</v>
      </c>
      <c r="C32" s="5"/>
      <c r="D32" s="31"/>
    </row>
    <row r="33" spans="2:5" ht="18" customHeight="1" x14ac:dyDescent="0.25">
      <c r="B33" s="21" t="s">
        <v>165</v>
      </c>
      <c r="C33" s="32">
        <v>5</v>
      </c>
      <c r="D33" s="33">
        <v>2</v>
      </c>
      <c r="E33" s="34" t="s">
        <v>166</v>
      </c>
    </row>
    <row r="34" spans="2:5" ht="18" customHeight="1" x14ac:dyDescent="0.25">
      <c r="B34" s="13" t="s">
        <v>167</v>
      </c>
      <c r="C34" s="32">
        <v>1</v>
      </c>
      <c r="D34" s="33">
        <v>1</v>
      </c>
      <c r="E34" s="16" t="s">
        <v>168</v>
      </c>
    </row>
    <row r="36" spans="2:5" ht="19.5" customHeight="1" x14ac:dyDescent="0.25">
      <c r="B36" s="5" t="s">
        <v>169</v>
      </c>
      <c r="C36" s="5"/>
      <c r="D36" s="31"/>
    </row>
    <row r="37" spans="2:5" ht="18" customHeight="1" x14ac:dyDescent="0.25">
      <c r="B37" s="21" t="s">
        <v>170</v>
      </c>
      <c r="C37" s="32">
        <v>4</v>
      </c>
      <c r="D37" s="33">
        <f>IF('Water Savings'!F10&gt;=0.3,1,0)</f>
        <v>0</v>
      </c>
      <c r="E37" s="34" t="s">
        <v>171</v>
      </c>
    </row>
    <row r="38" spans="2:5" ht="18" customHeight="1" x14ac:dyDescent="0.25">
      <c r="B38" s="13" t="s">
        <v>172</v>
      </c>
      <c r="C38" s="32">
        <v>4</v>
      </c>
      <c r="D38" s="33">
        <f>IF('Energy Savings'!F11&gt;=0.3,1,0)</f>
        <v>1</v>
      </c>
      <c r="E38" s="16" t="s">
        <v>173</v>
      </c>
    </row>
    <row r="40" spans="2:5" ht="25.5" customHeight="1" x14ac:dyDescent="0.25">
      <c r="B40" s="35" t="s">
        <v>174</v>
      </c>
      <c r="C40" s="36">
        <v>110</v>
      </c>
      <c r="D40" s="37">
        <f>SUM(D6:D8,D11:D13,D16:D20,D23:D24,D27:D30,D33:D34,D37:D38)</f>
        <v>38</v>
      </c>
    </row>
    <row r="41" spans="2:5" ht="21.75" customHeight="1" x14ac:dyDescent="0.25">
      <c r="B41" s="38" t="s">
        <v>175</v>
      </c>
      <c r="D41" s="39" t="str">
        <f>IF(D40&gt;=80,"PLATINUM",IF(D40&gt;=60,"GOLD",IF(D40&gt;=50,"SILVER",IF(D40&gt;=40,"CERTIFIED","Not Certified"))))</f>
        <v>Not Certified</v>
      </c>
    </row>
    <row r="43" spans="2:5" ht="15" customHeight="1" x14ac:dyDescent="0.25">
      <c r="B43" s="4" t="s">
        <v>176</v>
      </c>
      <c r="C43" s="4"/>
      <c r="D43" s="4"/>
      <c r="E43" s="4"/>
    </row>
  </sheetData>
  <mergeCells count="10">
    <mergeCell ref="B22:C22"/>
    <mergeCell ref="B26:C26"/>
    <mergeCell ref="B32:C32"/>
    <mergeCell ref="B36:C36"/>
    <mergeCell ref="B43:E43"/>
    <mergeCell ref="B1:E1"/>
    <mergeCell ref="B2:E2"/>
    <mergeCell ref="B5:C5"/>
    <mergeCell ref="B10:C10"/>
    <mergeCell ref="B15:C15"/>
  </mergeCells>
  <conditionalFormatting sqref="D41">
    <cfRule type="cellIs" dxfId="1" priority="2" operator="equal">
      <formula>"GOLD"</formula>
    </cfRule>
    <cfRule type="cellIs" dxfId="0" priority="3" operator="equal">
      <formula>"PLATINUM"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A825"/>
  </sheetPr>
  <dimension ref="B1:C41"/>
  <sheetViews>
    <sheetView showGridLines="0" zoomScaleNormal="100" workbookViewId="0">
      <selection activeCell="C45" sqref="C45"/>
    </sheetView>
  </sheetViews>
  <sheetFormatPr defaultColWidth="8.7109375" defaultRowHeight="15" x14ac:dyDescent="0.25"/>
  <cols>
    <col min="1" max="1" width="3" customWidth="1"/>
    <col min="2" max="2" width="30.85546875" customWidth="1"/>
    <col min="3" max="3" width="20" customWidth="1"/>
    <col min="4" max="4" width="3" customWidth="1"/>
  </cols>
  <sheetData>
    <row r="1" spans="2:3" ht="54.75" customHeight="1" x14ac:dyDescent="0.25">
      <c r="B1" s="3" t="s">
        <v>177</v>
      </c>
      <c r="C1" s="3"/>
    </row>
    <row r="2" spans="2:3" x14ac:dyDescent="0.25">
      <c r="B2" s="2" t="str">
        <f>Inputs!C5</f>
        <v>Casa Cortile Retrofit</v>
      </c>
      <c r="C2" s="2"/>
    </row>
    <row r="4" spans="2:3" ht="21.75" customHeight="1" x14ac:dyDescent="0.25">
      <c r="B4" s="1" t="s">
        <v>178</v>
      </c>
      <c r="C4" s="1"/>
    </row>
    <row r="5" spans="2:3" ht="21.75" customHeight="1" x14ac:dyDescent="0.25">
      <c r="B5" s="40" t="s">
        <v>6</v>
      </c>
      <c r="C5" s="41" t="str">
        <f>Inputs!C6</f>
        <v>Office/Commercial</v>
      </c>
    </row>
    <row r="6" spans="2:3" ht="21.75" customHeight="1" x14ac:dyDescent="0.25">
      <c r="B6" s="40" t="s">
        <v>179</v>
      </c>
      <c r="C6" s="42">
        <f>Inputs!C7</f>
        <v>8500</v>
      </c>
    </row>
    <row r="7" spans="2:3" ht="21.75" customHeight="1" x14ac:dyDescent="0.25">
      <c r="B7" s="40" t="s">
        <v>180</v>
      </c>
      <c r="C7" s="41" t="str">
        <f>Inputs!C10</f>
        <v>2A</v>
      </c>
    </row>
    <row r="8" spans="2:3" ht="21.75" customHeight="1" x14ac:dyDescent="0.25">
      <c r="B8" s="40" t="s">
        <v>181</v>
      </c>
      <c r="C8" s="43">
        <f>Inputs!C13</f>
        <v>28400</v>
      </c>
    </row>
    <row r="9" spans="2:3" ht="21.75" customHeight="1" x14ac:dyDescent="0.25">
      <c r="B9" s="40" t="s">
        <v>182</v>
      </c>
      <c r="C9" s="43">
        <f>Inputs!C16</f>
        <v>4200</v>
      </c>
    </row>
    <row r="11" spans="2:3" ht="21.75" customHeight="1" x14ac:dyDescent="0.25">
      <c r="B11" s="1" t="s">
        <v>183</v>
      </c>
      <c r="C11" s="1"/>
    </row>
    <row r="12" spans="2:3" ht="21.75" customHeight="1" x14ac:dyDescent="0.25">
      <c r="B12" s="40" t="s">
        <v>184</v>
      </c>
      <c r="C12" s="42">
        <f>'Energy Savings'!E10</f>
        <v>395694</v>
      </c>
    </row>
    <row r="13" spans="2:3" ht="21.75" customHeight="1" x14ac:dyDescent="0.25">
      <c r="B13" s="40" t="s">
        <v>185</v>
      </c>
      <c r="C13" s="44">
        <f>'Energy Savings'!F10</f>
        <v>13917</v>
      </c>
    </row>
    <row r="14" spans="2:3" ht="21.75" customHeight="1" x14ac:dyDescent="0.25">
      <c r="B14" s="40" t="s">
        <v>186</v>
      </c>
      <c r="C14" s="45">
        <f>'Energy Savings'!F11</f>
        <v>0.49003521126760563</v>
      </c>
    </row>
    <row r="16" spans="2:3" ht="21.75" customHeight="1" x14ac:dyDescent="0.25">
      <c r="B16" s="1" t="s">
        <v>187</v>
      </c>
      <c r="C16" s="1"/>
    </row>
    <row r="17" spans="2:3" ht="21.75" customHeight="1" x14ac:dyDescent="0.25">
      <c r="B17" s="40" t="s">
        <v>188</v>
      </c>
      <c r="C17" s="42">
        <f>'Water Savings'!E9</f>
        <v>30537</v>
      </c>
    </row>
    <row r="18" spans="2:3" ht="21.75" customHeight="1" x14ac:dyDescent="0.25">
      <c r="B18" s="40" t="s">
        <v>189</v>
      </c>
      <c r="C18" s="44">
        <f>'Water Savings'!F9</f>
        <v>183</v>
      </c>
    </row>
    <row r="19" spans="2:3" ht="21.75" customHeight="1" x14ac:dyDescent="0.25">
      <c r="B19" s="40" t="s">
        <v>117</v>
      </c>
      <c r="C19" s="45">
        <f>'Water Savings'!F10</f>
        <v>4.3571428571428573E-2</v>
      </c>
    </row>
    <row r="21" spans="2:3" ht="21.75" customHeight="1" x14ac:dyDescent="0.25">
      <c r="B21" s="1" t="s">
        <v>190</v>
      </c>
      <c r="C21" s="1"/>
    </row>
    <row r="22" spans="2:3" ht="21.75" customHeight="1" x14ac:dyDescent="0.25">
      <c r="B22" s="40" t="s">
        <v>191</v>
      </c>
      <c r="C22" s="44">
        <f>'Energy Savings'!F10+'Water Savings'!F9</f>
        <v>14100</v>
      </c>
    </row>
    <row r="23" spans="2:3" ht="21.75" customHeight="1" x14ac:dyDescent="0.25">
      <c r="B23" s="40" t="s">
        <v>192</v>
      </c>
      <c r="C23" s="45">
        <f>('Energy Savings'!F10+'Water Savings'!F9)/(Inputs!C13+Inputs!C16)</f>
        <v>0.43251533742331288</v>
      </c>
    </row>
    <row r="25" spans="2:3" ht="21.75" customHeight="1" x14ac:dyDescent="0.25">
      <c r="B25" s="1" t="s">
        <v>193</v>
      </c>
      <c r="C25" s="1"/>
    </row>
    <row r="26" spans="2:3" ht="21.75" customHeight="1" x14ac:dyDescent="0.25">
      <c r="B26" s="40" t="s">
        <v>194</v>
      </c>
      <c r="C26" s="46">
        <f>'LEED Points'!D40</f>
        <v>38</v>
      </c>
    </row>
    <row r="27" spans="2:3" ht="21.75" customHeight="1" x14ac:dyDescent="0.25">
      <c r="B27" s="40" t="s">
        <v>175</v>
      </c>
      <c r="C27" s="47" t="str">
        <f>'LEED Points'!D41</f>
        <v>Not Certified</v>
      </c>
    </row>
    <row r="28" spans="2:3" ht="21.75" customHeight="1" x14ac:dyDescent="0.25">
      <c r="B28" s="40" t="s">
        <v>195</v>
      </c>
      <c r="C28" s="48">
        <f>IF('LEED Points'!D40&lt;40,40-'LEED Points'!D40,IF('LEED Points'!D40&lt;50,50-'LEED Points'!D40,IF('LEED Points'!D40&lt;60,60-'LEED Points'!D40,IF('LEED Points'!D40&lt;80,80-'LEED Points'!D40,0))))</f>
        <v>2</v>
      </c>
    </row>
    <row r="30" spans="2:3" ht="21.75" customHeight="1" x14ac:dyDescent="0.25">
      <c r="B30" s="1" t="s">
        <v>196</v>
      </c>
      <c r="C30" s="1"/>
    </row>
    <row r="31" spans="2:3" ht="21.75" customHeight="1" x14ac:dyDescent="0.25">
      <c r="B31" s="40" t="s">
        <v>197</v>
      </c>
      <c r="C31" s="41" t="str">
        <f>IF(Inputs!C33="Yes","YES — "&amp;Inputs!C34&amp;" SEER","Not selected")</f>
        <v>YES — 20 SEER</v>
      </c>
    </row>
    <row r="32" spans="2:3" ht="21.75" customHeight="1" x14ac:dyDescent="0.25">
      <c r="B32" s="40" t="s">
        <v>198</v>
      </c>
      <c r="C32" s="41" t="str">
        <f>IF(Inputs!C35="Yes","YES — "&amp;Inputs!C36&amp;" W/sq ft","Not selected")</f>
        <v>YES — 0.6 W/sq ft</v>
      </c>
    </row>
    <row r="33" spans="2:3" ht="21.75" customHeight="1" x14ac:dyDescent="0.25">
      <c r="B33" s="40" t="s">
        <v>199</v>
      </c>
      <c r="C33" s="41" t="str">
        <f>IF(Inputs!C37="Yes","YES — R-"&amp;Inputs!C38,"Not selected")</f>
        <v>YES — R-30</v>
      </c>
    </row>
    <row r="34" spans="2:3" ht="21.75" customHeight="1" x14ac:dyDescent="0.25">
      <c r="B34" s="40" t="s">
        <v>200</v>
      </c>
      <c r="C34" s="41" t="str">
        <f>IF(Inputs!C39="Yes","YES — U-"&amp;Inputs!C40,"Not selected")</f>
        <v>YES — U-0.35</v>
      </c>
    </row>
    <row r="35" spans="2:3" ht="21.75" customHeight="1" x14ac:dyDescent="0.25">
      <c r="B35" s="40" t="s">
        <v>201</v>
      </c>
      <c r="C35" s="41" t="str">
        <f>IF(Inputs!C41="Yes","YES — 1.28 gpf","Not selected")</f>
        <v>YES — 1.28 gpf</v>
      </c>
    </row>
    <row r="36" spans="2:3" ht="21.75" customHeight="1" x14ac:dyDescent="0.25">
      <c r="B36" s="40" t="s">
        <v>202</v>
      </c>
      <c r="C36" s="41" t="str">
        <f>IF(Inputs!C42="Yes","YES — 1.5 gpm","Not selected")</f>
        <v>YES — 1.5 gpm</v>
      </c>
    </row>
    <row r="37" spans="2:3" ht="21.75" customHeight="1" x14ac:dyDescent="0.25">
      <c r="B37" s="40" t="s">
        <v>203</v>
      </c>
      <c r="C37" s="41" t="str">
        <f>IF(Inputs!C43="Yes","YES — 0.5 gpf","Not selected")</f>
        <v>YES — 0.5 gpf</v>
      </c>
    </row>
    <row r="38" spans="2:3" ht="21.75" customHeight="1" x14ac:dyDescent="0.25">
      <c r="B38" s="40" t="s">
        <v>204</v>
      </c>
      <c r="C38" s="41" t="str">
        <f>IF(Inputs!C44="Yes","YES — "&amp;Inputs!C45&amp;" kW DC","Not selected")</f>
        <v>YES — 30 kW DC</v>
      </c>
    </row>
    <row r="40" spans="2:3" ht="13.5" customHeight="1" x14ac:dyDescent="0.25"/>
    <row r="41" spans="2:3" ht="22.35" customHeight="1" x14ac:dyDescent="0.25">
      <c r="B41" s="7" t="s">
        <v>205</v>
      </c>
      <c r="C41" s="7"/>
    </row>
  </sheetData>
  <mergeCells count="9">
    <mergeCell ref="B21:C21"/>
    <mergeCell ref="B25:C25"/>
    <mergeCell ref="B30:C30"/>
    <mergeCell ref="B41:C41"/>
    <mergeCell ref="B1:C1"/>
    <mergeCell ref="B2:C2"/>
    <mergeCell ref="B4:C4"/>
    <mergeCell ref="B11:C11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Energy Savings</vt:lpstr>
      <vt:lpstr>Water Savings</vt:lpstr>
      <vt:lpstr>LEED Points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Ravi, Suhas</cp:lastModifiedBy>
  <cp:revision>0</cp:revision>
  <dcterms:created xsi:type="dcterms:W3CDTF">2026-03-23T19:09:05Z</dcterms:created>
  <dcterms:modified xsi:type="dcterms:W3CDTF">2026-03-23T20:14:09Z</dcterms:modified>
  <dc:language>en-US</dc:language>
</cp:coreProperties>
</file>